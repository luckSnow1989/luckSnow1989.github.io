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2548" tabRatio="500"/>
  </bookViews>
  <sheets>
    <sheet name="Kafka集群规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Kafka规划</author>
  </authors>
  <commentList>
    <comment ref="B40" authorId="0">
      <text>
        <r>
          <rPr>
            <sz val="10"/>
            <rFont val="Arial"/>
            <charset val="134"/>
          </rPr>
          <t>2^63-1</t>
        </r>
        <r>
          <rPr>
            <sz val="10"/>
            <rFont val="Noto Sans SC"/>
            <charset val="134"/>
          </rPr>
          <t>。该数值超出</t>
        </r>
        <r>
          <rPr>
            <sz val="10"/>
            <rFont val="Arial"/>
            <charset val="134"/>
          </rPr>
          <t>Excel</t>
        </r>
        <r>
          <rPr>
            <sz val="10"/>
            <rFont val="Noto Sans SC"/>
            <charset val="134"/>
          </rPr>
          <t>的</t>
        </r>
        <r>
          <rPr>
            <sz val="10"/>
            <rFont val="Arial"/>
            <charset val="134"/>
          </rPr>
          <t>15</t>
        </r>
        <r>
          <rPr>
            <sz val="10"/>
            <rFont val="Noto Sans SC"/>
            <charset val="134"/>
          </rPr>
          <t>位有效数字精度，显示为科学计数法或舍入值，不影响量级判断。</t>
        </r>
      </text>
    </comment>
  </commentList>
</comments>
</file>

<file path=xl/sharedStrings.xml><?xml version="1.0" encoding="utf-8"?>
<sst xmlns="http://schemas.openxmlformats.org/spreadsheetml/2006/main" count="225" uniqueCount="185">
  <si>
    <t>百亿级日流量 Kafka 集群规划计算器</t>
  </si>
  <si>
    <t>【一、基础输入参数（仅修改此区域）】</t>
  </si>
  <si>
    <t>参数名称</t>
  </si>
  <si>
    <t>参数值</t>
  </si>
  <si>
    <t>单位</t>
  </si>
  <si>
    <t>说明</t>
  </si>
  <si>
    <t>日消息总条数</t>
  </si>
  <si>
    <r>
      <rPr>
        <sz val="11"/>
        <color theme="1"/>
        <rFont val="Noto Sans SC"/>
        <charset val="134"/>
      </rPr>
      <t>亿条</t>
    </r>
    <r>
      <rPr>
        <sz val="11"/>
        <color theme="1"/>
        <rFont val="Calibri"/>
        <charset val="1"/>
      </rPr>
      <t>/</t>
    </r>
    <r>
      <rPr>
        <sz val="11"/>
        <color theme="1"/>
        <rFont val="Noto Sans SC"/>
        <charset val="134"/>
      </rPr>
      <t>天</t>
    </r>
  </si>
  <si>
    <r>
      <rPr>
        <sz val="11"/>
        <color theme="1"/>
        <rFont val="Noto Sans SC"/>
        <charset val="134"/>
      </rPr>
      <t>每日写入</t>
    </r>
    <r>
      <rPr>
        <sz val="11"/>
        <color theme="1"/>
        <rFont val="Calibri"/>
        <charset val="1"/>
      </rPr>
      <t>Topic</t>
    </r>
    <r>
      <rPr>
        <sz val="11"/>
        <color theme="1"/>
        <rFont val="Noto Sans SC"/>
        <charset val="134"/>
      </rPr>
      <t>的总消息量</t>
    </r>
  </si>
  <si>
    <t>单条消息平均大小</t>
  </si>
  <si>
    <t>KB</t>
  </si>
  <si>
    <r>
      <rPr>
        <sz val="11"/>
        <color theme="1"/>
        <rFont val="Noto Sans SC"/>
        <charset val="134"/>
      </rPr>
      <t>含</t>
    </r>
    <r>
      <rPr>
        <sz val="11"/>
        <color theme="1"/>
        <rFont val="Calibri"/>
        <charset val="1"/>
      </rPr>
      <t>key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value</t>
    </r>
    <r>
      <rPr>
        <sz val="11"/>
        <color theme="1"/>
        <rFont val="Noto Sans SC"/>
        <charset val="134"/>
      </rPr>
      <t>、</t>
    </r>
    <r>
      <rPr>
        <sz val="11"/>
        <color theme="1"/>
        <rFont val="Calibri"/>
        <charset val="1"/>
      </rPr>
      <t>header</t>
    </r>
    <r>
      <rPr>
        <sz val="11"/>
        <color theme="1"/>
        <rFont val="Noto Sans SC"/>
        <charset val="134"/>
      </rPr>
      <t>总字节</t>
    </r>
  </si>
  <si>
    <t>日流量峰值系数</t>
  </si>
  <si>
    <t>倍</t>
  </si>
  <si>
    <r>
      <rPr>
        <sz val="11"/>
        <color theme="1"/>
        <rFont val="Noto Sans SC"/>
        <charset val="134"/>
      </rPr>
      <t>峰值流量</t>
    </r>
    <r>
      <rPr>
        <sz val="11"/>
        <color theme="1"/>
        <rFont val="Calibri"/>
        <charset val="1"/>
      </rPr>
      <t>/</t>
    </r>
    <r>
      <rPr>
        <sz val="11"/>
        <color theme="1"/>
        <rFont val="Noto Sans SC"/>
        <charset val="134"/>
      </rPr>
      <t>平均流量，常规</t>
    </r>
    <r>
      <rPr>
        <sz val="11"/>
        <color theme="1"/>
        <rFont val="Calibri"/>
        <charset val="1"/>
      </rPr>
      <t>2~3</t>
    </r>
    <r>
      <rPr>
        <sz val="11"/>
        <color theme="1"/>
        <rFont val="Noto Sans SC"/>
        <charset val="134"/>
      </rPr>
      <t>，大促</t>
    </r>
    <r>
      <rPr>
        <sz val="11"/>
        <color theme="1"/>
        <rFont val="Calibri"/>
        <charset val="1"/>
      </rPr>
      <t>3~5</t>
    </r>
  </si>
  <si>
    <t>副本因子</t>
  </si>
  <si>
    <t>个</t>
  </si>
  <si>
    <r>
      <rPr>
        <sz val="11"/>
        <color theme="1"/>
        <rFont val="Noto Sans SC"/>
        <charset val="134"/>
      </rPr>
      <t>生产环境标准</t>
    </r>
    <r>
      <rPr>
        <sz val="11"/>
        <color theme="1"/>
        <rFont val="Calibri"/>
        <charset val="1"/>
      </rPr>
      <t>3</t>
    </r>
    <r>
      <rPr>
        <sz val="11"/>
        <color theme="1"/>
        <rFont val="Noto Sans SC"/>
        <charset val="134"/>
      </rPr>
      <t>副本</t>
    </r>
  </si>
  <si>
    <t>消息保留时长</t>
  </si>
  <si>
    <t>天</t>
  </si>
  <si>
    <t>日志保留周期</t>
  </si>
  <si>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节点数量</t>
    </r>
  </si>
  <si>
    <t>台</t>
  </si>
  <si>
    <r>
      <rPr>
        <sz val="11"/>
        <color theme="1"/>
        <rFont val="Noto Sans SC"/>
        <charset val="134"/>
      </rPr>
      <t>集群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总节点数</t>
    </r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</si>
  <si>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网卡带宽</t>
    </r>
  </si>
  <si>
    <t>Gbps</t>
  </si>
  <si>
    <t>服务器物理网卡规格</t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</si>
  <si>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可用磁盘容量</t>
    </r>
  </si>
  <si>
    <t>TB</t>
  </si>
  <si>
    <t>单节点数据盘可用容量</t>
  </si>
  <si>
    <t>并发消费组数量</t>
  </si>
  <si>
    <t>组</t>
  </si>
  <si>
    <r>
      <rPr>
        <sz val="11"/>
        <color theme="1"/>
        <rFont val="Noto Sans SC"/>
        <charset val="134"/>
      </rPr>
      <t>同时消费该</t>
    </r>
    <r>
      <rPr>
        <sz val="11"/>
        <color theme="1"/>
        <rFont val="Calibri"/>
        <charset val="1"/>
      </rPr>
      <t>Topic</t>
    </r>
    <r>
      <rPr>
        <sz val="11"/>
        <color theme="1"/>
        <rFont val="Noto Sans SC"/>
        <charset val="134"/>
      </rPr>
      <t>的消费者组总数</t>
    </r>
  </si>
  <si>
    <t>【二、流量自动换算】</t>
  </si>
  <si>
    <r>
      <rPr>
        <sz val="11"/>
        <color theme="1"/>
        <rFont val="Noto Sans SC"/>
        <charset val="134"/>
      </rPr>
      <t xml:space="preserve">平均每秒消息数 </t>
    </r>
    <r>
      <rPr>
        <sz val="11"/>
        <color theme="1"/>
        <rFont val="Calibri"/>
        <charset val="1"/>
      </rPr>
      <t>QPS_avg</t>
    </r>
  </si>
  <si>
    <r>
      <rPr>
        <sz val="11"/>
        <color theme="1"/>
        <rFont val="Noto Sans SC"/>
        <charset val="134"/>
      </rPr>
      <t>条</t>
    </r>
    <r>
      <rPr>
        <sz val="11"/>
        <color theme="1"/>
        <rFont val="Calibri"/>
        <charset val="1"/>
      </rPr>
      <t>/</t>
    </r>
    <r>
      <rPr>
        <sz val="11"/>
        <color theme="1"/>
        <rFont val="Noto Sans SC"/>
        <charset val="134"/>
      </rPr>
      <t>秒</t>
    </r>
  </si>
  <si>
    <r>
      <rPr>
        <sz val="11"/>
        <color theme="1"/>
        <rFont val="Noto Sans SC"/>
        <charset val="134"/>
      </rPr>
      <t>日总消息量除以</t>
    </r>
    <r>
      <rPr>
        <sz val="11"/>
        <color theme="1"/>
        <rFont val="Calibri"/>
        <charset val="1"/>
      </rPr>
      <t>86400</t>
    </r>
    <r>
      <rPr>
        <sz val="11"/>
        <color theme="1"/>
        <rFont val="Noto Sans SC"/>
        <charset val="134"/>
      </rPr>
      <t>秒</t>
    </r>
  </si>
  <si>
    <r>
      <rPr>
        <sz val="11"/>
        <color theme="1"/>
        <rFont val="Noto Sans SC"/>
        <charset val="134"/>
      </rPr>
      <t xml:space="preserve">峰值每秒消息数 </t>
    </r>
    <r>
      <rPr>
        <sz val="11"/>
        <color theme="1"/>
        <rFont val="Calibri"/>
        <charset val="1"/>
      </rPr>
      <t>QPS_peak</t>
    </r>
  </si>
  <si>
    <r>
      <rPr>
        <sz val="11"/>
        <color theme="1"/>
        <rFont val="Noto Sans SC"/>
        <charset val="134"/>
      </rPr>
      <t>平均</t>
    </r>
    <r>
      <rPr>
        <sz val="11"/>
        <color theme="1"/>
        <rFont val="Calibri"/>
        <charset val="1"/>
      </rPr>
      <t>QPS</t>
    </r>
    <r>
      <rPr>
        <sz val="11"/>
        <color theme="1"/>
        <rFont val="Noto Sans SC"/>
        <charset val="134"/>
      </rPr>
      <t>乘以峰值系数</t>
    </r>
  </si>
  <si>
    <t>峰值写入吞吐</t>
  </si>
  <si>
    <t>MB/s</t>
  </si>
  <si>
    <r>
      <rPr>
        <sz val="11"/>
        <color theme="1"/>
        <rFont val="Noto Sans SC"/>
        <charset val="134"/>
      </rPr>
      <t>峰值消息量换算为</t>
    </r>
    <r>
      <rPr>
        <sz val="11"/>
        <color theme="1"/>
        <rFont val="Calibri"/>
        <charset val="1"/>
      </rPr>
      <t>MB</t>
    </r>
    <r>
      <rPr>
        <sz val="11"/>
        <color theme="1"/>
        <rFont val="Noto Sans SC"/>
        <charset val="134"/>
      </rPr>
      <t>每秒</t>
    </r>
  </si>
  <si>
    <t>【三、分区规划计算】</t>
  </si>
  <si>
    <t>单分区安全写入吞吐</t>
  </si>
  <si>
    <r>
      <rPr>
        <sz val="11"/>
        <color theme="1"/>
        <rFont val="Calibri"/>
        <charset val="1"/>
      </rPr>
      <t>ack=all</t>
    </r>
    <r>
      <rPr>
        <sz val="11"/>
        <color theme="1"/>
        <rFont val="Noto Sans SC"/>
        <charset val="134"/>
      </rPr>
      <t>强一致场景保守值，可调整</t>
    </r>
  </si>
  <si>
    <t>单分区安全消费吞吐</t>
  </si>
  <si>
    <t>常规业务消费能力，复杂业务调小</t>
  </si>
  <si>
    <t>生产端最小分区数</t>
  </si>
  <si>
    <t>向上取整</t>
  </si>
  <si>
    <t>消费端最小分区数</t>
  </si>
  <si>
    <r>
      <rPr>
        <sz val="11"/>
        <color theme="1"/>
        <rFont val="Noto Sans SC"/>
        <charset val="134"/>
      </rPr>
      <t>预留</t>
    </r>
    <r>
      <rPr>
        <sz val="11"/>
        <color theme="1"/>
        <rFont val="Calibri"/>
        <charset val="1"/>
      </rPr>
      <t>30%</t>
    </r>
    <r>
      <rPr>
        <sz val="11"/>
        <color theme="1"/>
        <rFont val="Noto Sans SC"/>
        <charset val="134"/>
      </rPr>
      <t>余量后分区数</t>
    </r>
  </si>
  <si>
    <t>取生产消费最大值，预留扩展空间</t>
  </si>
  <si>
    <t>最终建议分区数</t>
  </si>
  <si>
    <r>
      <rPr>
        <sz val="11"/>
        <color theme="1"/>
        <rFont val="Noto Sans SC"/>
        <charset val="134"/>
      </rPr>
      <t>向上取整为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整数倍，保证均匀分布</t>
    </r>
  </si>
  <si>
    <t>【四、磁盘容量规划】</t>
  </si>
  <si>
    <t>每日原始数据量</t>
  </si>
  <si>
    <r>
      <rPr>
        <sz val="11"/>
        <color theme="1"/>
        <rFont val="Calibri"/>
        <charset val="1"/>
      </rPr>
      <t>TB/</t>
    </r>
    <r>
      <rPr>
        <sz val="11"/>
        <color theme="1"/>
        <rFont val="Noto Sans SC"/>
        <charset val="134"/>
      </rPr>
      <t>天</t>
    </r>
  </si>
  <si>
    <t>单日所有消息原始大小</t>
  </si>
  <si>
    <t>每日总数据量（含副本）</t>
  </si>
  <si>
    <t>包含所有副本的总写入量</t>
  </si>
  <si>
    <t>保留周期总数据量</t>
  </si>
  <si>
    <t>保留期内全部数据总量</t>
  </si>
  <si>
    <r>
      <rPr>
        <sz val="11"/>
        <color theme="1"/>
        <rFont val="Noto Sans SC"/>
        <charset val="134"/>
      </rPr>
      <t>所需总磁盘容量（含</t>
    </r>
    <r>
      <rPr>
        <sz val="11"/>
        <color theme="1"/>
        <rFont val="Calibri"/>
        <charset val="1"/>
      </rPr>
      <t>30%</t>
    </r>
    <r>
      <rPr>
        <sz val="11"/>
        <color theme="1"/>
        <rFont val="Noto Sans SC"/>
        <charset val="134"/>
      </rPr>
      <t>冗余）</t>
    </r>
  </si>
  <si>
    <t>含索引、事务日志、磁盘碎片预留</t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</si>
  <si>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所需磁盘容量</t>
    </r>
  </si>
  <si>
    <t>平均到每台节点的磁盘需求</t>
  </si>
  <si>
    <t>磁盘容量校验</t>
  </si>
  <si>
    <t>-</t>
  </si>
  <si>
    <t>校验当前硬件是否满足</t>
  </si>
  <si>
    <t>【五、网络带宽校验】</t>
  </si>
  <si>
    <t>生产入站峰值带宽</t>
  </si>
  <si>
    <r>
      <rPr>
        <sz val="11"/>
        <color theme="1"/>
        <rFont val="Calibri"/>
        <charset val="1"/>
      </rPr>
      <t>MB/s</t>
    </r>
    <r>
      <rPr>
        <sz val="11"/>
        <color theme="1"/>
        <rFont val="Noto Sans SC"/>
        <charset val="134"/>
      </rPr>
      <t>转</t>
    </r>
    <r>
      <rPr>
        <sz val="11"/>
        <color theme="1"/>
        <rFont val="Calibri"/>
        <charset val="1"/>
      </rPr>
      <t>Gbps</t>
    </r>
    <r>
      <rPr>
        <sz val="11"/>
        <color theme="1"/>
        <rFont val="Noto Sans SC"/>
        <charset val="134"/>
      </rPr>
      <t>（</t>
    </r>
    <r>
      <rPr>
        <sz val="11"/>
        <color theme="1"/>
        <rFont val="Calibri"/>
        <charset val="1"/>
      </rPr>
      <t>1</t>
    </r>
    <r>
      <rPr>
        <sz val="11"/>
        <color theme="1"/>
        <rFont val="Noto Sans SC"/>
        <charset val="134"/>
      </rPr>
      <t>字节</t>
    </r>
    <r>
      <rPr>
        <sz val="11"/>
        <color theme="1"/>
        <rFont val="Calibri"/>
        <charset val="1"/>
      </rPr>
      <t>=8</t>
    </r>
    <r>
      <rPr>
        <sz val="11"/>
        <color theme="1"/>
        <rFont val="Noto Sans SC"/>
        <charset val="134"/>
      </rPr>
      <t>比特）</t>
    </r>
  </si>
  <si>
    <t>副本同步峰值带宽</t>
  </si>
  <si>
    <r>
      <rPr>
        <sz val="11"/>
        <color theme="1"/>
        <rFont val="Calibri"/>
        <charset val="1"/>
      </rPr>
      <t>Leader</t>
    </r>
    <r>
      <rPr>
        <sz val="11"/>
        <color theme="1"/>
        <rFont val="Noto Sans SC"/>
        <charset val="134"/>
      </rPr>
      <t>同步到</t>
    </r>
    <r>
      <rPr>
        <sz val="11"/>
        <color theme="1"/>
        <rFont val="Calibri"/>
        <charset val="1"/>
      </rPr>
      <t>Follower</t>
    </r>
    <r>
      <rPr>
        <sz val="11"/>
        <color theme="1"/>
        <rFont val="Noto Sans SC"/>
        <charset val="134"/>
      </rPr>
      <t>的跨节点流量</t>
    </r>
  </si>
  <si>
    <t>消费出站峰值带宽</t>
  </si>
  <si>
    <t>所有消费组出站总流量</t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</si>
  <si>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峰值总带宽</t>
    </r>
  </si>
  <si>
    <t>平均到单节点的总带宽</t>
  </si>
  <si>
    <t>网卡利用率</t>
  </si>
  <si>
    <r>
      <rPr>
        <sz val="11"/>
        <color theme="1"/>
        <rFont val="Noto Sans SC"/>
        <charset val="134"/>
      </rPr>
      <t>建议不超过</t>
    </r>
    <r>
      <rPr>
        <sz val="11"/>
        <color theme="1"/>
        <rFont val="Calibri"/>
        <charset val="1"/>
      </rPr>
      <t>70%</t>
    </r>
  </si>
  <si>
    <t>带宽校验</t>
  </si>
  <si>
    <r>
      <rPr>
        <sz val="11"/>
        <color theme="1"/>
        <rFont val="Calibri"/>
        <charset val="1"/>
      </rPr>
      <t>70%</t>
    </r>
    <r>
      <rPr>
        <sz val="11"/>
        <color theme="1"/>
        <rFont val="Noto Sans SC"/>
        <charset val="134"/>
      </rPr>
      <t>冗余率校验</t>
    </r>
  </si>
  <si>
    <t>【六、Offset寿命校验】</t>
  </si>
  <si>
    <r>
      <rPr>
        <sz val="11"/>
        <color theme="1"/>
        <rFont val="Noto Sans SC"/>
        <charset val="134"/>
      </rPr>
      <t>单分区每日</t>
    </r>
    <r>
      <rPr>
        <sz val="11"/>
        <color theme="1"/>
        <rFont val="Calibri"/>
        <charset val="1"/>
      </rPr>
      <t>Offset</t>
    </r>
    <r>
      <rPr>
        <sz val="11"/>
        <color theme="1"/>
        <rFont val="Noto Sans SC"/>
        <charset val="134"/>
      </rPr>
      <t>增量</t>
    </r>
  </si>
  <si>
    <r>
      <rPr>
        <sz val="11"/>
        <color theme="1"/>
        <rFont val="Noto Sans SC"/>
        <charset val="134"/>
      </rPr>
      <t>条</t>
    </r>
    <r>
      <rPr>
        <sz val="11"/>
        <color theme="1"/>
        <rFont val="Calibri"/>
        <charset val="1"/>
      </rPr>
      <t>/</t>
    </r>
    <r>
      <rPr>
        <sz val="11"/>
        <color theme="1"/>
        <rFont val="Noto Sans SC"/>
        <charset val="134"/>
      </rPr>
      <t>天</t>
    </r>
  </si>
  <si>
    <t>单分区每日新增消息数</t>
  </si>
  <si>
    <r>
      <rPr>
        <sz val="11"/>
        <color theme="1"/>
        <rFont val="Calibri"/>
        <charset val="1"/>
      </rPr>
      <t>Long</t>
    </r>
    <r>
      <rPr>
        <sz val="11"/>
        <color theme="1"/>
        <rFont val="Noto Sans SC"/>
        <charset val="134"/>
      </rPr>
      <t>型</t>
    </r>
    <r>
      <rPr>
        <sz val="11"/>
        <color theme="1"/>
        <rFont val="Calibri"/>
        <charset val="1"/>
      </rPr>
      <t>Offset</t>
    </r>
    <r>
      <rPr>
        <sz val="11"/>
        <color theme="1"/>
        <rFont val="Noto Sans SC"/>
        <charset val="134"/>
      </rPr>
      <t>最大值</t>
    </r>
  </si>
  <si>
    <r>
      <rPr>
        <sz val="11"/>
        <color theme="1"/>
        <rFont val="Calibri"/>
        <charset val="1"/>
      </rPr>
      <t>2^63-1</t>
    </r>
    <r>
      <rPr>
        <sz val="11"/>
        <color theme="1"/>
        <rFont val="Noto Sans SC"/>
        <charset val="134"/>
      </rPr>
      <t>，</t>
    </r>
    <r>
      <rPr>
        <sz val="11"/>
        <color theme="1"/>
        <rFont val="Calibri"/>
        <charset val="1"/>
      </rPr>
      <t>Java 64</t>
    </r>
    <r>
      <rPr>
        <sz val="11"/>
        <color theme="1"/>
        <rFont val="Noto Sans SC"/>
        <charset val="134"/>
      </rPr>
      <t>位有符号长整型最大值</t>
    </r>
  </si>
  <si>
    <r>
      <rPr>
        <sz val="11"/>
        <color theme="1"/>
        <rFont val="Calibri"/>
        <charset val="1"/>
      </rPr>
      <t>Offset</t>
    </r>
    <r>
      <rPr>
        <sz val="11"/>
        <color theme="1"/>
        <rFont val="Noto Sans SC"/>
        <charset val="134"/>
      </rPr>
      <t>耗尽天数</t>
    </r>
  </si>
  <si>
    <t>理论值，大数字可能显示为科学计数法</t>
  </si>
  <si>
    <r>
      <rPr>
        <sz val="11"/>
        <color theme="1"/>
        <rFont val="Calibri"/>
        <charset val="1"/>
      </rPr>
      <t>Offset</t>
    </r>
    <r>
      <rPr>
        <sz val="11"/>
        <color theme="1"/>
        <rFont val="Noto Sans SC"/>
        <charset val="134"/>
      </rPr>
      <t>耗尽年数</t>
    </r>
  </si>
  <si>
    <t>年</t>
  </si>
  <si>
    <t>工程上无需担心溢出</t>
  </si>
  <si>
    <t>【七、单Topic最终配置汇总】</t>
  </si>
  <si>
    <r>
      <rPr>
        <sz val="11"/>
        <color theme="1"/>
        <rFont val="Calibri"/>
        <charset val="1"/>
      </rPr>
      <t>Topic</t>
    </r>
    <r>
      <rPr>
        <sz val="11"/>
        <color theme="1"/>
        <rFont val="Noto Sans SC"/>
        <charset val="134"/>
      </rPr>
      <t>建议分区数</t>
    </r>
  </si>
  <si>
    <t>核心配置项</t>
  </si>
  <si>
    <r>
      <rPr>
        <sz val="11"/>
        <color theme="1"/>
        <rFont val="Noto Sans SC"/>
        <charset val="134"/>
      </rPr>
      <t>推荐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数量</t>
    </r>
  </si>
  <si>
    <r>
      <rPr>
        <sz val="11"/>
        <color theme="1"/>
        <rFont val="Noto Sans SC"/>
        <charset val="134"/>
      </rPr>
      <t>磁盘</t>
    </r>
    <r>
      <rPr>
        <sz val="11"/>
        <color theme="1"/>
        <rFont val="Calibri"/>
        <charset val="1"/>
      </rPr>
      <t>/</t>
    </r>
    <r>
      <rPr>
        <sz val="11"/>
        <color theme="1"/>
        <rFont val="Noto Sans SC"/>
        <charset val="134"/>
      </rPr>
      <t>带宽不足时需上调</t>
    </r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</si>
  <si>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最低磁盘配置</t>
    </r>
  </si>
  <si>
    <r>
      <rPr>
        <sz val="11"/>
        <color theme="1"/>
        <rFont val="Noto Sans SC"/>
        <charset val="134"/>
      </rPr>
      <t>向上取整到</t>
    </r>
    <r>
      <rPr>
        <sz val="11"/>
        <color theme="1"/>
        <rFont val="Calibri"/>
        <charset val="1"/>
      </rPr>
      <t>2TB</t>
    </r>
    <r>
      <rPr>
        <sz val="11"/>
        <color theme="1"/>
        <rFont val="Noto Sans SC"/>
        <charset val="134"/>
      </rPr>
      <t>整数倍</t>
    </r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</si>
  <si>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最低网卡配置</t>
    </r>
  </si>
  <si>
    <r>
      <rPr>
        <sz val="11"/>
        <color theme="1"/>
        <rFont val="Noto Sans SC"/>
        <charset val="134"/>
      </rPr>
      <t>预留</t>
    </r>
    <r>
      <rPr>
        <sz val="11"/>
        <color theme="1"/>
        <rFont val="Calibri"/>
        <charset val="1"/>
      </rPr>
      <t>50%</t>
    </r>
    <r>
      <rPr>
        <sz val="11"/>
        <color theme="1"/>
        <rFont val="Noto Sans SC"/>
        <charset val="134"/>
      </rPr>
      <t>余量后的推荐规格</t>
    </r>
  </si>
  <si>
    <t>【八、多Topic集群总资源汇总】</t>
  </si>
  <si>
    <r>
      <rPr>
        <sz val="11"/>
        <color theme="1"/>
        <rFont val="Noto Sans SC"/>
        <charset val="134"/>
      </rPr>
      <t>每行一个</t>
    </r>
    <r>
      <rPr>
        <sz val="11"/>
        <color theme="1"/>
        <rFont val="Calibri"/>
        <charset val="1"/>
      </rPr>
      <t>Topic</t>
    </r>
    <r>
      <rPr>
        <sz val="11"/>
        <color theme="1"/>
        <rFont val="Noto Sans SC"/>
        <charset val="134"/>
      </rPr>
      <t>，可向下扩展</t>
    </r>
  </si>
  <si>
    <t>Topic名称</t>
  </si>
  <si>
    <t>Leader分区数</t>
  </si>
  <si>
    <t>峰值写入吞吐(MB/s)</t>
  </si>
  <si>
    <t>所需总磁盘(TB)</t>
  </si>
  <si>
    <t>Topic-1</t>
  </si>
  <si>
    <t>Topic-2</t>
  </si>
  <si>
    <t>Topic-3</t>
  </si>
  <si>
    <t>Topic-4</t>
  </si>
  <si>
    <t>Topic-5</t>
  </si>
  <si>
    <t>集群汇总</t>
  </si>
  <si>
    <t>—</t>
  </si>
  <si>
    <t>集群级硬件校验</t>
  </si>
  <si>
    <t>集群统一副本因子</t>
  </si>
  <si>
    <t>默认引用全局参数，可手动修改</t>
  </si>
  <si>
    <t>集群总分区数（含所有副本）</t>
  </si>
  <si>
    <r>
      <rPr>
        <sz val="11"/>
        <color theme="1"/>
        <rFont val="Calibri"/>
        <charset val="1"/>
      </rPr>
      <t>Leader+Follower</t>
    </r>
    <r>
      <rPr>
        <sz val="11"/>
        <color theme="1"/>
        <rFont val="Noto Sans SC"/>
        <charset val="134"/>
      </rPr>
      <t>全部分区</t>
    </r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</si>
  <si>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平均总分区数</t>
    </r>
  </si>
  <si>
    <r>
      <rPr>
        <sz val="11"/>
        <color theme="1"/>
        <rFont val="Noto Sans SC"/>
        <charset val="134"/>
      </rPr>
      <t>生产建议单</t>
    </r>
    <r>
      <rPr>
        <sz val="11"/>
        <color theme="1"/>
        <rFont val="Calibri"/>
        <charset val="1"/>
      </rPr>
      <t>Broker≤2000</t>
    </r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</si>
  <si>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分区数校验</t>
    </r>
  </si>
  <si>
    <t>元数据性能约束</t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</si>
  <si>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平均峰值写入吞吐</t>
    </r>
  </si>
  <si>
    <t>单节点写入压力</t>
  </si>
  <si>
    <r>
      <rPr>
        <sz val="11"/>
        <color theme="1"/>
        <rFont val="Noto Sans SC"/>
        <charset val="134"/>
      </rPr>
      <t>单</t>
    </r>
    <r>
      <rPr>
        <sz val="11"/>
        <color theme="1"/>
        <rFont val="Calibri"/>
        <charset val="1"/>
      </rPr>
      <t>Broker</t>
    </r>
    <r>
      <rPr>
        <sz val="11"/>
        <color theme="1"/>
        <rFont val="Noto Sans SC"/>
        <charset val="134"/>
      </rPr>
      <t>平均磁盘占用</t>
    </r>
  </si>
  <si>
    <t>单节点磁盘需求</t>
  </si>
  <si>
    <r>
      <rPr>
        <sz val="11"/>
        <color theme="1"/>
        <rFont val="Noto Sans SC"/>
        <charset val="134"/>
      </rPr>
      <t>多</t>
    </r>
    <r>
      <rPr>
        <sz val="11"/>
        <color theme="1"/>
        <rFont val="Calibri"/>
        <charset val="1"/>
      </rPr>
      <t>Topic</t>
    </r>
    <r>
      <rPr>
        <sz val="11"/>
        <color theme="1"/>
        <rFont val="Noto Sans SC"/>
        <charset val="134"/>
      </rPr>
      <t>磁盘容量校验</t>
    </r>
  </si>
  <si>
    <t>硬件容量校验</t>
  </si>
  <si>
    <r>
      <rPr>
        <sz val="11"/>
        <color theme="1"/>
        <rFont val="Noto Sans SC"/>
        <charset val="134"/>
      </rPr>
      <t>集群总峰值带宽（写入</t>
    </r>
    <r>
      <rPr>
        <sz val="11"/>
        <color theme="1"/>
        <rFont val="Calibri"/>
        <charset val="1"/>
      </rPr>
      <t>+</t>
    </r>
    <r>
      <rPr>
        <sz val="11"/>
        <color theme="1"/>
        <rFont val="Noto Sans SC"/>
        <charset val="134"/>
      </rPr>
      <t>副本</t>
    </r>
    <r>
      <rPr>
        <sz val="11"/>
        <color theme="1"/>
        <rFont val="Calibri"/>
        <charset val="1"/>
      </rPr>
      <t>+</t>
    </r>
    <r>
      <rPr>
        <sz val="11"/>
        <color theme="1"/>
        <rFont val="Noto Sans SC"/>
        <charset val="134"/>
      </rPr>
      <t>消费）</t>
    </r>
  </si>
  <si>
    <t>含生产入站、副本同步、所有消费出站</t>
  </si>
  <si>
    <t>单节点网卡压力</t>
  </si>
  <si>
    <r>
      <rPr>
        <sz val="11"/>
        <color theme="1"/>
        <rFont val="Noto Sans SC"/>
        <charset val="134"/>
      </rPr>
      <t>多</t>
    </r>
    <r>
      <rPr>
        <sz val="11"/>
        <color theme="1"/>
        <rFont val="Calibri"/>
        <charset val="1"/>
      </rPr>
      <t>Topic</t>
    </r>
    <r>
      <rPr>
        <sz val="11"/>
        <color theme="1"/>
        <rFont val="Noto Sans SC"/>
        <charset val="134"/>
      </rPr>
      <t>带宽校验</t>
    </r>
  </si>
  <si>
    <t>【九、压测性能基准参考值】</t>
  </si>
  <si>
    <t>一、单分区写入性能（无压缩）</t>
  </si>
  <si>
    <t>ack=0异步</t>
  </si>
  <si>
    <t>ack=1主副本确认</t>
  </si>
  <si>
    <t>ack=-1/all强一致</t>
  </si>
  <si>
    <r>
      <rPr>
        <sz val="11"/>
        <color theme="1"/>
        <rFont val="Calibri"/>
        <charset val="1"/>
      </rPr>
      <t>512B</t>
    </r>
    <r>
      <rPr>
        <sz val="11"/>
        <color theme="1"/>
        <rFont val="Noto Sans SC"/>
        <charset val="134"/>
      </rPr>
      <t>消息</t>
    </r>
  </si>
  <si>
    <t>25~30 MB/s</t>
  </si>
  <si>
    <t>20~25 MB/s</t>
  </si>
  <si>
    <t>12~15 MB/s</t>
  </si>
  <si>
    <r>
      <rPr>
        <sz val="11"/>
        <color theme="1"/>
        <rFont val="Calibri"/>
        <charset val="1"/>
      </rPr>
      <t>1KB</t>
    </r>
    <r>
      <rPr>
        <sz val="11"/>
        <color theme="1"/>
        <rFont val="Noto Sans SC"/>
        <charset val="134"/>
      </rPr>
      <t>消息</t>
    </r>
  </si>
  <si>
    <t>30~35 MB/s</t>
  </si>
  <si>
    <t>8~12 MB/s</t>
  </si>
  <si>
    <r>
      <rPr>
        <sz val="11"/>
        <color theme="1"/>
        <rFont val="Calibri"/>
        <charset val="1"/>
      </rPr>
      <t>2KB</t>
    </r>
    <r>
      <rPr>
        <sz val="11"/>
        <color theme="1"/>
        <rFont val="Noto Sans SC"/>
        <charset val="134"/>
      </rPr>
      <t>消息</t>
    </r>
  </si>
  <si>
    <t>35~40 MB/s</t>
  </si>
  <si>
    <t>10~15 MB/s</t>
  </si>
  <si>
    <r>
      <rPr>
        <sz val="11"/>
        <color theme="1"/>
        <rFont val="Calibri"/>
        <charset val="1"/>
      </rPr>
      <t>10KB</t>
    </r>
    <r>
      <rPr>
        <sz val="11"/>
        <color theme="1"/>
        <rFont val="Noto Sans SC"/>
        <charset val="134"/>
      </rPr>
      <t>消息</t>
    </r>
  </si>
  <si>
    <t>50~60 MB/s</t>
  </si>
  <si>
    <t>40~50 MB/s</t>
  </si>
  <si>
    <t>20~30 MB/s</t>
  </si>
  <si>
    <t>二、压缩算法影响</t>
  </si>
  <si>
    <t>压缩比</t>
  </si>
  <si>
    <t>写入吞吐损失</t>
  </si>
  <si>
    <t>推荐场景</t>
  </si>
  <si>
    <t>LZ4</t>
  </si>
  <si>
    <t>~1:2.5</t>
  </si>
  <si>
    <t>5%~10%</t>
  </si>
  <si>
    <t>生产首选，性能损失小</t>
  </si>
  <si>
    <t>Snappy</t>
  </si>
  <si>
    <t>~1:2.2</t>
  </si>
  <si>
    <t>3%~8%</t>
  </si>
  <si>
    <r>
      <rPr>
        <sz val="11"/>
        <color theme="1"/>
        <rFont val="Noto Sans SC"/>
        <charset val="134"/>
      </rPr>
      <t>低</t>
    </r>
    <r>
      <rPr>
        <sz val="11"/>
        <color theme="1"/>
        <rFont val="Calibri"/>
        <charset val="1"/>
      </rPr>
      <t>CPU</t>
    </r>
    <r>
      <rPr>
        <sz val="11"/>
        <color theme="1"/>
        <rFont val="Noto Sans SC"/>
        <charset val="134"/>
      </rPr>
      <t>场景，性能均衡</t>
    </r>
  </si>
  <si>
    <t>Gzip</t>
  </si>
  <si>
    <t>~1:4</t>
  </si>
  <si>
    <t>20%~30%</t>
  </si>
  <si>
    <t>磁盘紧张场景</t>
  </si>
  <si>
    <t>三、单Broker整机参考（10G+SSD）</t>
  </si>
  <si>
    <t>参考值</t>
  </si>
  <si>
    <t>稳定写入总吞吐</t>
  </si>
  <si>
    <t>600~800 MB/s</t>
  </si>
  <si>
    <r>
      <rPr>
        <sz val="11"/>
        <color theme="1"/>
        <rFont val="Calibri"/>
        <charset val="1"/>
      </rPr>
      <t>ack=1</t>
    </r>
    <r>
      <rPr>
        <sz val="11"/>
        <color theme="1"/>
        <rFont val="Noto Sans SC"/>
        <charset val="134"/>
      </rPr>
      <t>，</t>
    </r>
    <r>
      <rPr>
        <sz val="11"/>
        <color theme="1"/>
        <rFont val="Calibri"/>
        <charset val="1"/>
      </rPr>
      <t>3</t>
    </r>
    <r>
      <rPr>
        <sz val="11"/>
        <color theme="1"/>
        <rFont val="Noto Sans SC"/>
        <charset val="134"/>
      </rPr>
      <t>副本</t>
    </r>
  </si>
  <si>
    <t>建议总分区数（含副本）</t>
  </si>
  <si>
    <r>
      <rPr>
        <sz val="11"/>
        <color theme="1"/>
        <rFont val="Calibri"/>
        <charset val="1"/>
      </rPr>
      <t>≤2000</t>
    </r>
    <r>
      <rPr>
        <sz val="11"/>
        <color theme="1"/>
        <rFont val="Noto Sans SC"/>
        <charset val="134"/>
      </rPr>
      <t>个</t>
    </r>
  </si>
  <si>
    <t>超过后元数据开销显著上升</t>
  </si>
  <si>
    <r>
      <rPr>
        <sz val="11"/>
        <color theme="1"/>
        <rFont val="Noto Sans SC"/>
        <charset val="134"/>
      </rPr>
      <t>端到端</t>
    </r>
    <r>
      <rPr>
        <sz val="11"/>
        <color theme="1"/>
        <rFont val="Calibri"/>
        <charset val="1"/>
      </rPr>
      <t>P99</t>
    </r>
    <r>
      <rPr>
        <sz val="11"/>
        <color theme="1"/>
        <rFont val="Noto Sans SC"/>
        <charset val="134"/>
      </rPr>
      <t>延迟（</t>
    </r>
    <r>
      <rPr>
        <sz val="11"/>
        <color theme="1"/>
        <rFont val="Calibri"/>
        <charset val="1"/>
      </rPr>
      <t>ack=1</t>
    </r>
    <r>
      <rPr>
        <sz val="11"/>
        <color theme="1"/>
        <rFont val="Noto Sans SC"/>
        <charset val="134"/>
      </rPr>
      <t>）</t>
    </r>
  </si>
  <si>
    <t>2~10 ms</t>
  </si>
  <si>
    <t>同机房生产环境正常范围</t>
  </si>
  <si>
    <t>补充使用说明</t>
  </si>
  <si>
    <t>1. 多Topic扩展：Topic数量超过5个时，选中第50~54行整行插入，再把第55、64行的求和范围B50:B54对应扩展到新行即可。</t>
  </si>
  <si>
    <t>2. 参数校准：集群上线后用官方压测工具实测单分区吞吐，替换B18、B19数值，可得到更贴合实际硬件的规划结果。</t>
  </si>
  <si>
    <t>3. 单位说明：存储容量采用二进制换算（1TB=1024GB），网络带宽采用比特率（1Gbps=1024Mbps），与业界通用标准一致。</t>
  </si>
  <si>
    <t>4. 容错提示：若计算结果显示除零错误，请检查Broker数量、分区数输入是否为0；若出现数值溢出类提示，为Offset极大值的科学计数法显示，不影响量级判断。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</si>
</sst>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32">
    <font>
      <sz val="11"/>
      <color theme="1"/>
      <name val="Noto Sans SC"/>
      <charset val="134"/>
    </font>
    <font>
      <b/>
      <sz val="14"/>
      <color rgb="FFFFFFFF"/>
      <name val="微软雅黑"/>
      <charset val="1"/>
    </font>
    <font>
      <b/>
      <sz val="11"/>
      <color rgb="FF1F4E79"/>
      <name val="微软雅黑"/>
      <charset val="1"/>
    </font>
    <font>
      <b/>
      <sz val="10"/>
      <color rgb="FFFFFFFF"/>
      <name val="微软雅黑"/>
      <charset val="1"/>
    </font>
    <font>
      <b/>
      <sz val="10"/>
      <color rgb="FF0000FF"/>
      <name val="微软雅黑"/>
      <charset val="1"/>
    </font>
    <font>
      <sz val="11"/>
      <color theme="1"/>
      <name val="Calibri"/>
      <charset val="1"/>
    </font>
    <font>
      <b/>
      <sz val="10"/>
      <color rgb="FF1F2937"/>
      <name val="微软雅黑"/>
      <charset val="1"/>
    </font>
    <font>
      <b/>
      <sz val="9"/>
      <color rgb="FF595959"/>
      <name val="微软雅黑"/>
      <charset val="1"/>
    </font>
    <font>
      <sz val="9"/>
      <color rgb="FF595959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Noto Sans SC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EE7"/>
      </patternFill>
    </fill>
    <fill>
      <patternFill patternType="solid">
        <fgColor rgb="FF4472C4"/>
        <bgColor rgb="FF0066C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3" fontId="6" fillId="7" borderId="2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4" fontId="6" fillId="7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7" fillId="8" borderId="0" xfId="0" applyFont="1" applyFill="1" applyBorder="1" applyAlignment="1">
      <alignment horizontal="left" vertical="center"/>
    </xf>
    <xf numFmtId="0" fontId="8" fillId="8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AB4C5"/>
      <rgbColor rgb="00808080"/>
      <rgbColor rgb="009999FF"/>
      <rgbColor rgb="00993366"/>
      <rgbColor rgb="00FFF2CC"/>
      <rgbColor rgb="00F2F2F2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7F9FC"/>
      <rgbColor rgb="00D9DEE7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abSelected="1" workbookViewId="0">
      <pane ySplit="3" topLeftCell="A4" activePane="bottomLeft" state="frozen"/>
      <selection/>
      <selection pane="bottomLeft" activeCell="D18" sqref="D18"/>
    </sheetView>
  </sheetViews>
  <sheetFormatPr defaultColWidth="7.63333333333333" defaultRowHeight="18" outlineLevelCol="4"/>
  <cols>
    <col min="1" max="1" width="29.1083333333333" customWidth="1"/>
    <col min="2" max="2" width="25.4666666666667" customWidth="1"/>
    <col min="3" max="3" width="12.7416666666667" customWidth="1"/>
    <col min="4" max="4" width="41.85" customWidth="1"/>
    <col min="5" max="5" width="18.2" customWidth="1"/>
  </cols>
  <sheetData>
    <row r="1" ht="27.75" customHeight="1" spans="1:5">
      <c r="A1" s="1" t="s">
        <v>0</v>
      </c>
      <c r="B1" s="1"/>
      <c r="C1" s="1"/>
      <c r="D1" s="1"/>
    </row>
    <row r="2" spans="1:5">
      <c r="A2" s="2" t="s">
        <v>1</v>
      </c>
      <c r="B2" s="3"/>
      <c r="C2" s="3"/>
      <c r="D2" s="4"/>
    </row>
    <row r="3" spans="1:5">
      <c r="A3" s="5" t="s">
        <v>2</v>
      </c>
      <c r="B3" s="5" t="s">
        <v>3</v>
      </c>
      <c r="C3" s="5" t="s">
        <v>4</v>
      </c>
      <c r="D3" s="6" t="s">
        <v>5</v>
      </c>
      <c r="E3" s="5"/>
    </row>
    <row r="4" spans="1:5">
      <c r="A4" s="7" t="s">
        <v>6</v>
      </c>
      <c r="B4" s="8">
        <v>1000</v>
      </c>
      <c r="C4" s="9" t="s">
        <v>7</v>
      </c>
      <c r="D4" s="10" t="s">
        <v>8</v>
      </c>
    </row>
    <row r="5" spans="1:5">
      <c r="A5" s="11" t="s">
        <v>9</v>
      </c>
      <c r="B5" s="8">
        <v>1</v>
      </c>
      <c r="C5" s="12" t="s">
        <v>10</v>
      </c>
      <c r="D5" s="13" t="s">
        <v>11</v>
      </c>
    </row>
    <row r="6" spans="1:5">
      <c r="A6" s="7" t="s">
        <v>12</v>
      </c>
      <c r="B6" s="8">
        <v>2.5</v>
      </c>
      <c r="C6" s="9" t="s">
        <v>13</v>
      </c>
      <c r="D6" s="10" t="s">
        <v>14</v>
      </c>
    </row>
    <row r="7" spans="1:5">
      <c r="A7" s="11" t="s">
        <v>15</v>
      </c>
      <c r="B7" s="8">
        <v>3</v>
      </c>
      <c r="C7" s="14" t="s">
        <v>16</v>
      </c>
      <c r="D7" s="13" t="s">
        <v>17</v>
      </c>
    </row>
    <row r="8" spans="1:5">
      <c r="A8" s="7" t="s">
        <v>18</v>
      </c>
      <c r="B8" s="8">
        <v>7</v>
      </c>
      <c r="C8" s="9" t="s">
        <v>19</v>
      </c>
      <c r="D8" s="10" t="s">
        <v>20</v>
      </c>
    </row>
    <row r="9" spans="1:5">
      <c r="A9" s="15" t="s">
        <v>21</v>
      </c>
      <c r="B9" s="8">
        <v>100</v>
      </c>
      <c r="C9" s="14" t="s">
        <v>22</v>
      </c>
      <c r="D9" s="13" t="s">
        <v>23</v>
      </c>
    </row>
    <row r="10" spans="1:5">
      <c r="A10" s="7" t="s">
        <v>24</v>
      </c>
      <c r="B10" s="8">
        <v>100</v>
      </c>
      <c r="C10" s="16" t="s">
        <v>25</v>
      </c>
      <c r="D10" s="10" t="s">
        <v>26</v>
      </c>
    </row>
    <row r="11" spans="1:5">
      <c r="A11" s="11" t="s">
        <v>27</v>
      </c>
      <c r="B11" s="8">
        <v>200</v>
      </c>
      <c r="C11" s="12" t="s">
        <v>28</v>
      </c>
      <c r="D11" s="13" t="s">
        <v>29</v>
      </c>
    </row>
    <row r="12" spans="1:5">
      <c r="A12" s="7" t="s">
        <v>30</v>
      </c>
      <c r="B12" s="8">
        <v>1</v>
      </c>
      <c r="C12" s="9" t="s">
        <v>31</v>
      </c>
      <c r="D12" s="10" t="s">
        <v>32</v>
      </c>
    </row>
    <row r="13" spans="1:5">
      <c r="A13" s="2" t="s">
        <v>33</v>
      </c>
      <c r="B13" s="3"/>
      <c r="C13" s="3"/>
      <c r="D13" s="4"/>
    </row>
    <row r="14" spans="1:5">
      <c r="A14" s="7" t="s">
        <v>34</v>
      </c>
      <c r="B14" s="17">
        <f>B4*100000000/86400</f>
        <v>1157407.40740741</v>
      </c>
      <c r="C14" s="9" t="s">
        <v>35</v>
      </c>
      <c r="D14" s="10" t="s">
        <v>36</v>
      </c>
    </row>
    <row r="15" spans="1:5">
      <c r="A15" s="11" t="s">
        <v>37</v>
      </c>
      <c r="B15" s="18">
        <f>B14*B6</f>
        <v>2893518.51851852</v>
      </c>
      <c r="C15" s="14" t="s">
        <v>35</v>
      </c>
      <c r="D15" s="13" t="s">
        <v>38</v>
      </c>
    </row>
    <row r="16" spans="1:5">
      <c r="A16" s="7" t="s">
        <v>39</v>
      </c>
      <c r="B16" s="19">
        <f>B15*B5/1024</f>
        <v>2825.70167824074</v>
      </c>
      <c r="C16" s="16" t="s">
        <v>40</v>
      </c>
      <c r="D16" s="10" t="s">
        <v>41</v>
      </c>
    </row>
    <row r="17" spans="1:4">
      <c r="A17" s="2" t="s">
        <v>42</v>
      </c>
      <c r="B17" s="3"/>
      <c r="C17" s="3"/>
      <c r="D17" s="4"/>
    </row>
    <row r="18" spans="1:4">
      <c r="A18" s="7" t="s">
        <v>43</v>
      </c>
      <c r="B18" s="8">
        <v>10</v>
      </c>
      <c r="C18" s="16" t="s">
        <v>40</v>
      </c>
      <c r="D18" s="20" t="s">
        <v>44</v>
      </c>
    </row>
    <row r="19" spans="1:4">
      <c r="A19" s="11" t="s">
        <v>45</v>
      </c>
      <c r="B19" s="8">
        <v>10</v>
      </c>
      <c r="C19" s="12" t="s">
        <v>40</v>
      </c>
      <c r="D19" s="13" t="s">
        <v>46</v>
      </c>
    </row>
    <row r="20" spans="1:4">
      <c r="A20" s="7" t="s">
        <v>47</v>
      </c>
      <c r="B20" s="21">
        <f>CEILING(B16/B18,1)</f>
        <v>283</v>
      </c>
      <c r="C20" s="9" t="s">
        <v>16</v>
      </c>
      <c r="D20" s="10" t="s">
        <v>48</v>
      </c>
    </row>
    <row r="21" spans="1:4">
      <c r="A21" s="11" t="s">
        <v>49</v>
      </c>
      <c r="B21" s="22">
        <f>CEILING(B16/B19,1)</f>
        <v>283</v>
      </c>
      <c r="C21" s="14" t="s">
        <v>16</v>
      </c>
      <c r="D21" s="13" t="s">
        <v>48</v>
      </c>
    </row>
    <row r="22" spans="1:4">
      <c r="A22" s="7" t="s">
        <v>50</v>
      </c>
      <c r="B22" s="19">
        <f>MAX(B20,B21)*1.3</f>
        <v>367.9</v>
      </c>
      <c r="C22" s="9" t="s">
        <v>16</v>
      </c>
      <c r="D22" s="10" t="s">
        <v>51</v>
      </c>
    </row>
    <row r="23" spans="1:4">
      <c r="A23" s="11" t="s">
        <v>52</v>
      </c>
      <c r="B23" s="23">
        <f>CEILING(B22,B9)</f>
        <v>400</v>
      </c>
      <c r="C23" s="14" t="s">
        <v>16</v>
      </c>
      <c r="D23" s="13" t="s">
        <v>53</v>
      </c>
    </row>
    <row r="24" spans="1:4">
      <c r="A24" s="2" t="s">
        <v>54</v>
      </c>
      <c r="B24" s="3"/>
      <c r="C24" s="3"/>
      <c r="D24" s="4"/>
    </row>
    <row r="25" spans="1:4">
      <c r="A25" s="7" t="s">
        <v>55</v>
      </c>
      <c r="B25" s="24">
        <f>B4*100000000*B5/1024/1024/1024</f>
        <v>93.1322574615479</v>
      </c>
      <c r="C25" s="16" t="s">
        <v>56</v>
      </c>
      <c r="D25" s="10" t="s">
        <v>57</v>
      </c>
    </row>
    <row r="26" spans="1:4">
      <c r="A26" s="11" t="s">
        <v>58</v>
      </c>
      <c r="B26" s="25">
        <f>B25*B7</f>
        <v>279.396772384644</v>
      </c>
      <c r="C26" s="12" t="s">
        <v>56</v>
      </c>
      <c r="D26" s="13" t="s">
        <v>59</v>
      </c>
    </row>
    <row r="27" spans="1:4">
      <c r="A27" s="7" t="s">
        <v>60</v>
      </c>
      <c r="B27" s="24">
        <f>B26*B8</f>
        <v>1955.7774066925</v>
      </c>
      <c r="C27" s="16" t="s">
        <v>28</v>
      </c>
      <c r="D27" s="10" t="s">
        <v>61</v>
      </c>
    </row>
    <row r="28" spans="1:4">
      <c r="A28" s="11" t="s">
        <v>62</v>
      </c>
      <c r="B28" s="25">
        <f>B27*1.3</f>
        <v>2542.51062870026</v>
      </c>
      <c r="C28" s="12" t="s">
        <v>28</v>
      </c>
      <c r="D28" s="13" t="s">
        <v>63</v>
      </c>
    </row>
    <row r="29" spans="1:4">
      <c r="A29" s="7" t="s">
        <v>64</v>
      </c>
      <c r="B29" s="24">
        <f>B28/B9</f>
        <v>25.4251062870026</v>
      </c>
      <c r="C29" s="16" t="s">
        <v>28</v>
      </c>
      <c r="D29" s="10" t="s">
        <v>65</v>
      </c>
    </row>
    <row r="30" spans="1:4">
      <c r="A30" s="11" t="s">
        <v>66</v>
      </c>
      <c r="B30" s="26" t="str">
        <f>IF(B29&lt;=B11,"满足","不足，需扩容")</f>
        <v>满足</v>
      </c>
      <c r="C30" s="12" t="s">
        <v>67</v>
      </c>
      <c r="D30" s="13" t="s">
        <v>68</v>
      </c>
    </row>
    <row r="31" spans="1:4">
      <c r="A31" s="2" t="s">
        <v>69</v>
      </c>
      <c r="B31" s="3"/>
      <c r="C31" s="3"/>
      <c r="D31" s="4"/>
    </row>
    <row r="32" spans="1:4">
      <c r="A32" s="7" t="s">
        <v>70</v>
      </c>
      <c r="B32" s="24">
        <f>B16*8/1024</f>
        <v>22.0757943612558</v>
      </c>
      <c r="C32" s="16" t="s">
        <v>25</v>
      </c>
      <c r="D32" s="20" t="s">
        <v>71</v>
      </c>
    </row>
    <row r="33" spans="1:4">
      <c r="A33" s="11" t="s">
        <v>72</v>
      </c>
      <c r="B33" s="25">
        <f>B32*(B7-1)</f>
        <v>44.1515887225116</v>
      </c>
      <c r="C33" s="12" t="s">
        <v>25</v>
      </c>
      <c r="D33" s="27" t="s">
        <v>73</v>
      </c>
    </row>
    <row r="34" spans="1:4">
      <c r="A34" s="7" t="s">
        <v>74</v>
      </c>
      <c r="B34" s="24">
        <f>B32*B12</f>
        <v>22.0757943612558</v>
      </c>
      <c r="C34" s="16" t="s">
        <v>25</v>
      </c>
      <c r="D34" s="10" t="s">
        <v>75</v>
      </c>
    </row>
    <row r="35" spans="1:4">
      <c r="A35" s="11" t="s">
        <v>76</v>
      </c>
      <c r="B35" s="25">
        <f>(B32+B33+B34)/B9</f>
        <v>0.883031774450232</v>
      </c>
      <c r="C35" s="12" t="s">
        <v>25</v>
      </c>
      <c r="D35" s="13" t="s">
        <v>77</v>
      </c>
    </row>
    <row r="36" spans="1:4">
      <c r="A36" s="7" t="s">
        <v>78</v>
      </c>
      <c r="B36" s="28">
        <f>B35/B10</f>
        <v>0.00883031774450231</v>
      </c>
      <c r="C36" s="16" t="s">
        <v>67</v>
      </c>
      <c r="D36" s="10" t="s">
        <v>79</v>
      </c>
    </row>
    <row r="37" spans="1:4">
      <c r="A37" s="11" t="s">
        <v>80</v>
      </c>
      <c r="B37" s="26" t="str">
        <f>IF(B36&lt;=0.7,"满足","不足，建议升级网卡或加节点")</f>
        <v>满足</v>
      </c>
      <c r="C37" s="12" t="s">
        <v>67</v>
      </c>
      <c r="D37" s="27" t="s">
        <v>81</v>
      </c>
    </row>
    <row r="38" spans="1:4">
      <c r="A38" s="2" t="s">
        <v>82</v>
      </c>
      <c r="B38" s="3"/>
      <c r="C38" s="3"/>
      <c r="D38" s="4"/>
    </row>
    <row r="39" spans="1:4">
      <c r="A39" s="7" t="s">
        <v>83</v>
      </c>
      <c r="B39" s="17">
        <f>B4*100000000/B23</f>
        <v>250000000</v>
      </c>
      <c r="C39" s="9" t="s">
        <v>84</v>
      </c>
      <c r="D39" s="10" t="s">
        <v>85</v>
      </c>
    </row>
    <row r="40" spans="1:4">
      <c r="A40" s="15" t="s">
        <v>86</v>
      </c>
      <c r="B40" s="22">
        <v>9.22337203685478e+18</v>
      </c>
      <c r="C40" s="12" t="s">
        <v>67</v>
      </c>
      <c r="D40" s="27" t="s">
        <v>87</v>
      </c>
    </row>
    <row r="41" spans="1:4">
      <c r="A41" s="29" t="s">
        <v>88</v>
      </c>
      <c r="B41" s="17">
        <f>B40/B39</f>
        <v>36893488147.4191</v>
      </c>
      <c r="C41" s="9" t="s">
        <v>19</v>
      </c>
      <c r="D41" s="10" t="s">
        <v>89</v>
      </c>
    </row>
    <row r="42" spans="1:4">
      <c r="A42" s="15" t="s">
        <v>90</v>
      </c>
      <c r="B42" s="18">
        <f>B41/365</f>
        <v>101078049.718956</v>
      </c>
      <c r="C42" s="14" t="s">
        <v>91</v>
      </c>
      <c r="D42" s="13" t="s">
        <v>92</v>
      </c>
    </row>
    <row r="43" spans="1:4">
      <c r="A43" s="2" t="s">
        <v>93</v>
      </c>
      <c r="B43" s="3"/>
      <c r="C43" s="3"/>
      <c r="D43" s="4"/>
    </row>
    <row r="44" spans="1:4">
      <c r="A44" s="29" t="s">
        <v>94</v>
      </c>
      <c r="B44" s="23">
        <f>B23</f>
        <v>400</v>
      </c>
      <c r="C44" s="9" t="s">
        <v>16</v>
      </c>
      <c r="D44" s="10" t="s">
        <v>95</v>
      </c>
    </row>
    <row r="45" spans="1:4">
      <c r="A45" s="11" t="s">
        <v>96</v>
      </c>
      <c r="B45" s="22">
        <f>B9</f>
        <v>100</v>
      </c>
      <c r="C45" s="14" t="s">
        <v>22</v>
      </c>
      <c r="D45" s="13" t="s">
        <v>97</v>
      </c>
    </row>
    <row r="46" spans="1:4">
      <c r="A46" s="7" t="s">
        <v>98</v>
      </c>
      <c r="B46" s="21">
        <f>CEILING(B29,2)</f>
        <v>26</v>
      </c>
      <c r="C46" s="16" t="s">
        <v>28</v>
      </c>
      <c r="D46" s="10" t="s">
        <v>99</v>
      </c>
    </row>
    <row r="47" spans="1:4">
      <c r="A47" s="11" t="s">
        <v>100</v>
      </c>
      <c r="B47" s="22">
        <f>CEILING(B35*1.5,1)</f>
        <v>2</v>
      </c>
      <c r="C47" s="12" t="s">
        <v>25</v>
      </c>
      <c r="D47" s="13" t="s">
        <v>101</v>
      </c>
    </row>
    <row r="48" spans="1:4">
      <c r="A48" s="2" t="s">
        <v>102</v>
      </c>
      <c r="B48" s="3"/>
      <c r="C48" s="3"/>
      <c r="D48" s="4" t="s">
        <v>103</v>
      </c>
    </row>
    <row r="49" spans="1:5">
      <c r="A49" s="5" t="s">
        <v>104</v>
      </c>
      <c r="B49" s="5" t="s">
        <v>105</v>
      </c>
      <c r="C49" s="5" t="s">
        <v>106</v>
      </c>
      <c r="D49" s="6" t="s">
        <v>30</v>
      </c>
      <c r="E49" s="5" t="s">
        <v>107</v>
      </c>
    </row>
    <row r="50" spans="1:5">
      <c r="A50" s="29" t="s">
        <v>108</v>
      </c>
      <c r="B50" s="21">
        <f>B23</f>
        <v>400</v>
      </c>
      <c r="C50" s="19">
        <f>B16</f>
        <v>2825.70167824074</v>
      </c>
      <c r="D50" s="10"/>
      <c r="E50" s="24">
        <f>B28</f>
        <v>2542.51062870026</v>
      </c>
    </row>
    <row r="51" spans="1:5">
      <c r="A51" s="15" t="s">
        <v>109</v>
      </c>
      <c r="B51" s="14"/>
      <c r="C51" s="14"/>
      <c r="D51" s="13"/>
      <c r="E51" s="14"/>
    </row>
    <row r="52" spans="1:5">
      <c r="A52" s="29" t="s">
        <v>110</v>
      </c>
      <c r="B52" s="9"/>
      <c r="C52" s="9"/>
      <c r="D52" s="10"/>
      <c r="E52" s="9"/>
    </row>
    <row r="53" spans="1:5">
      <c r="A53" s="15" t="s">
        <v>111</v>
      </c>
      <c r="B53" s="14"/>
      <c r="C53" s="14"/>
      <c r="D53" s="13"/>
      <c r="E53" s="14"/>
    </row>
    <row r="54" ht="18.75" spans="1:5">
      <c r="A54" s="29" t="s">
        <v>112</v>
      </c>
      <c r="B54" s="9"/>
      <c r="C54" s="9"/>
      <c r="D54" s="10"/>
      <c r="E54" s="9"/>
    </row>
    <row r="55" spans="1:5">
      <c r="A55" s="30" t="s">
        <v>113</v>
      </c>
      <c r="B55" s="31">
        <f>SUM(B50:B54)</f>
        <v>400</v>
      </c>
      <c r="C55" s="32">
        <f>SUM(C50:C54)</f>
        <v>2825.70167824074</v>
      </c>
      <c r="D55" s="33" t="s">
        <v>114</v>
      </c>
      <c r="E55" s="34">
        <f>SUM(E50:E54)</f>
        <v>2542.51062870026</v>
      </c>
    </row>
    <row r="56" spans="1:5">
      <c r="A56" s="35" t="s">
        <v>115</v>
      </c>
      <c r="B56" s="3"/>
      <c r="C56" s="3"/>
      <c r="D56" s="4"/>
      <c r="E56" s="3"/>
    </row>
    <row r="57" spans="1:5">
      <c r="A57" s="7" t="s">
        <v>116</v>
      </c>
      <c r="B57" s="21">
        <f>B7</f>
        <v>3</v>
      </c>
      <c r="C57" s="9" t="s">
        <v>16</v>
      </c>
      <c r="D57" s="10" t="s">
        <v>117</v>
      </c>
      <c r="E57" s="9"/>
    </row>
    <row r="58" spans="1:5">
      <c r="A58" s="11" t="s">
        <v>118</v>
      </c>
      <c r="B58" s="18">
        <f>B55*B57</f>
        <v>1200</v>
      </c>
      <c r="C58" s="14" t="s">
        <v>16</v>
      </c>
      <c r="D58" s="27" t="s">
        <v>119</v>
      </c>
      <c r="E58" s="14"/>
    </row>
    <row r="59" spans="1:5">
      <c r="A59" s="7" t="s">
        <v>120</v>
      </c>
      <c r="B59" s="17">
        <f>B58/B9</f>
        <v>12</v>
      </c>
      <c r="C59" s="9" t="s">
        <v>16</v>
      </c>
      <c r="D59" s="10" t="s">
        <v>121</v>
      </c>
      <c r="E59" s="9"/>
    </row>
    <row r="60" spans="1:5">
      <c r="A60" s="11" t="s">
        <v>122</v>
      </c>
      <c r="B60" s="26" t="str">
        <f>IF(B59&lt;=2000,"满足（建议≤2000）","偏高，建议增加Broker或缩减分区")</f>
        <v>满足（建议≤2000）</v>
      </c>
      <c r="C60" s="12" t="s">
        <v>67</v>
      </c>
      <c r="D60" s="13" t="s">
        <v>123</v>
      </c>
      <c r="E60" s="14"/>
    </row>
    <row r="61" spans="1:5">
      <c r="A61" s="7" t="s">
        <v>124</v>
      </c>
      <c r="B61" s="19">
        <f>C55/B9</f>
        <v>28.2570167824074</v>
      </c>
      <c r="C61" s="16" t="s">
        <v>40</v>
      </c>
      <c r="D61" s="10" t="s">
        <v>125</v>
      </c>
      <c r="E61" s="9"/>
    </row>
    <row r="62" spans="1:5">
      <c r="A62" s="11" t="s">
        <v>126</v>
      </c>
      <c r="B62" s="25">
        <f>E55/B9</f>
        <v>25.4251062870026</v>
      </c>
      <c r="C62" s="12" t="s">
        <v>28</v>
      </c>
      <c r="D62" s="13" t="s">
        <v>127</v>
      </c>
      <c r="E62" s="14"/>
    </row>
    <row r="63" spans="1:5">
      <c r="A63" s="7" t="s">
        <v>128</v>
      </c>
      <c r="B63" s="26" t="str">
        <f>IF(B62&lt;=B11,"满足","不足，需扩容磁盘或增加Broker")</f>
        <v>满足</v>
      </c>
      <c r="C63" s="16" t="s">
        <v>67</v>
      </c>
      <c r="D63" s="10" t="s">
        <v>129</v>
      </c>
      <c r="E63" s="9"/>
    </row>
    <row r="64" spans="1:5">
      <c r="A64" s="11" t="s">
        <v>130</v>
      </c>
      <c r="B64" s="25">
        <f>(C55*B57+SUMPRODUCT(C50:C54,D50:D54))*8/1024</f>
        <v>66.2273830837674</v>
      </c>
      <c r="C64" s="12" t="s">
        <v>25</v>
      </c>
      <c r="D64" s="13" t="s">
        <v>131</v>
      </c>
      <c r="E64" s="14"/>
    </row>
    <row r="65" spans="1:5">
      <c r="A65" s="7" t="s">
        <v>76</v>
      </c>
      <c r="B65" s="24">
        <f>B64/B9</f>
        <v>0.662273830837674</v>
      </c>
      <c r="C65" s="16" t="s">
        <v>25</v>
      </c>
      <c r="D65" s="10" t="s">
        <v>132</v>
      </c>
      <c r="E65" s="9"/>
    </row>
    <row r="66" spans="1:5">
      <c r="A66" s="11" t="s">
        <v>133</v>
      </c>
      <c r="B66" s="26" t="str">
        <f>IF(B65/B10&lt;=0.7,"满足（利用率≤70%）","不足，建议升级网卡或增加Broker")</f>
        <v>满足（利用率≤70%）</v>
      </c>
      <c r="C66" s="12" t="s">
        <v>67</v>
      </c>
      <c r="D66" s="27" t="s">
        <v>81</v>
      </c>
      <c r="E66" s="14"/>
    </row>
    <row r="67" spans="1:5">
      <c r="A67" s="2" t="s">
        <v>134</v>
      </c>
      <c r="B67" s="3"/>
      <c r="C67" s="3"/>
      <c r="D67" s="4"/>
    </row>
    <row r="68" spans="1:5">
      <c r="A68" s="2" t="s">
        <v>135</v>
      </c>
      <c r="B68" s="36" t="s">
        <v>136</v>
      </c>
      <c r="C68" s="36" t="s">
        <v>137</v>
      </c>
      <c r="D68" s="37" t="s">
        <v>138</v>
      </c>
    </row>
    <row r="69" spans="1:5">
      <c r="A69" s="29" t="s">
        <v>139</v>
      </c>
      <c r="B69" s="16" t="s">
        <v>140</v>
      </c>
      <c r="C69" s="16" t="s">
        <v>141</v>
      </c>
      <c r="D69" s="20" t="s">
        <v>142</v>
      </c>
    </row>
    <row r="70" spans="1:5">
      <c r="A70" s="15" t="s">
        <v>143</v>
      </c>
      <c r="B70" s="12" t="s">
        <v>144</v>
      </c>
      <c r="C70" s="12" t="s">
        <v>141</v>
      </c>
      <c r="D70" s="27" t="s">
        <v>145</v>
      </c>
    </row>
    <row r="71" spans="1:5">
      <c r="A71" s="29" t="s">
        <v>146</v>
      </c>
      <c r="B71" s="16" t="s">
        <v>147</v>
      </c>
      <c r="C71" s="16" t="s">
        <v>140</v>
      </c>
      <c r="D71" s="20" t="s">
        <v>148</v>
      </c>
    </row>
    <row r="72" spans="1:5">
      <c r="A72" s="15" t="s">
        <v>149</v>
      </c>
      <c r="B72" s="12" t="s">
        <v>150</v>
      </c>
      <c r="C72" s="12" t="s">
        <v>151</v>
      </c>
      <c r="D72" s="27" t="s">
        <v>152</v>
      </c>
    </row>
    <row r="73" spans="1:5">
      <c r="A73" s="2" t="s">
        <v>153</v>
      </c>
      <c r="B73" s="36" t="s">
        <v>154</v>
      </c>
      <c r="C73" s="36" t="s">
        <v>155</v>
      </c>
      <c r="D73" s="37" t="s">
        <v>156</v>
      </c>
    </row>
    <row r="74" spans="1:5">
      <c r="A74" s="29" t="s">
        <v>157</v>
      </c>
      <c r="B74" s="16" t="s">
        <v>158</v>
      </c>
      <c r="C74" s="16" t="s">
        <v>159</v>
      </c>
      <c r="D74" s="10" t="s">
        <v>160</v>
      </c>
    </row>
    <row r="75" spans="1:5">
      <c r="A75" s="15" t="s">
        <v>161</v>
      </c>
      <c r="B75" s="12" t="s">
        <v>162</v>
      </c>
      <c r="C75" s="12" t="s">
        <v>163</v>
      </c>
      <c r="D75" s="13" t="s">
        <v>164</v>
      </c>
    </row>
    <row r="76" spans="1:5">
      <c r="A76" s="29" t="s">
        <v>165</v>
      </c>
      <c r="B76" s="16" t="s">
        <v>166</v>
      </c>
      <c r="C76" s="16" t="s">
        <v>167</v>
      </c>
      <c r="D76" s="10" t="s">
        <v>168</v>
      </c>
    </row>
    <row r="77" spans="1:5">
      <c r="A77" s="2" t="s">
        <v>169</v>
      </c>
      <c r="B77" s="36" t="s">
        <v>170</v>
      </c>
      <c r="C77" s="36" t="s">
        <v>5</v>
      </c>
      <c r="D77" s="37"/>
    </row>
    <row r="78" spans="1:5">
      <c r="A78" s="7" t="s">
        <v>171</v>
      </c>
      <c r="B78" s="16" t="s">
        <v>172</v>
      </c>
      <c r="C78" s="16" t="s">
        <v>173</v>
      </c>
      <c r="D78" s="10"/>
    </row>
    <row r="79" spans="1:5">
      <c r="A79" s="11" t="s">
        <v>174</v>
      </c>
      <c r="B79" s="12" t="s">
        <v>175</v>
      </c>
      <c r="C79" s="14" t="s">
        <v>176</v>
      </c>
      <c r="D79" s="13"/>
    </row>
    <row r="80" spans="1:5">
      <c r="A80" s="7" t="s">
        <v>177</v>
      </c>
      <c r="B80" s="16" t="s">
        <v>178</v>
      </c>
      <c r="C80" s="9" t="s">
        <v>179</v>
      </c>
      <c r="D80" s="10"/>
    </row>
    <row r="83" spans="1:4">
      <c r="A83" s="38" t="s">
        <v>180</v>
      </c>
      <c r="B83" s="38"/>
      <c r="C83" s="38"/>
      <c r="D83" s="38"/>
    </row>
    <row r="84" spans="1:4">
      <c r="A84" s="39" t="s">
        <v>181</v>
      </c>
      <c r="B84" s="39"/>
      <c r="C84" s="39"/>
      <c r="D84" s="39"/>
    </row>
    <row r="85" spans="1:4">
      <c r="A85" s="39" t="s">
        <v>182</v>
      </c>
      <c r="B85" s="39"/>
      <c r="C85" s="39"/>
      <c r="D85" s="39"/>
    </row>
    <row r="86" spans="1:4">
      <c r="A86" s="39" t="s">
        <v>183</v>
      </c>
      <c r="B86" s="39"/>
      <c r="C86" s="39"/>
      <c r="D86" s="39"/>
    </row>
    <row r="87" spans="1:4">
      <c r="A87" s="39" t="s">
        <v>184</v>
      </c>
      <c r="B87" s="39"/>
      <c r="C87" s="39"/>
      <c r="D87" s="39"/>
    </row>
  </sheetData>
  <mergeCells count="6">
    <mergeCell ref="A1:D1"/>
    <mergeCell ref="A83:D83"/>
    <mergeCell ref="A84:D84"/>
    <mergeCell ref="A85:D85"/>
    <mergeCell ref="A86:D86"/>
    <mergeCell ref="A87:D87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Kafka集群规划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%E9%9B%A8%E8%90%BD%E6%B8%85%E5%AF%92%E6%</cp:lastModifiedBy>
  <cp:revision>0</cp:revision>
  <dcterms:created xsi:type="dcterms:W3CDTF">2026-09-09T03:30:00Z</dcterms:created>
  <dcterms:modified xsi:type="dcterms:W3CDTF">2026-09-09T03:38:12Z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F1426F5DB8BE48118B70008A3E340F2C_12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